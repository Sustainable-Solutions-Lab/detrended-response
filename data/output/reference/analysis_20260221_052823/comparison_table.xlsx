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kcaldeira\detrended-response\data\output\reference\analysis_20260221_052823\"/>
    </mc:Choice>
  </mc:AlternateContent>
  <xr:revisionPtr revIDLastSave="0" documentId="13_ncr:1_{CCF5A280-824F-44FF-B28A-1DBD3DDF1439}" xr6:coauthVersionLast="47" xr6:coauthVersionMax="47" xr10:uidLastSave="{00000000-0000-0000-0000-000000000000}"/>
  <bookViews>
    <workbookView xWindow="1170" yWindow="1170" windowWidth="31995" windowHeight="19050" xr2:uid="{00000000-000D-0000-FFFF-FFFF00000000}"/>
  </bookViews>
  <sheets>
    <sheet name="Sheet1" sheetId="1" r:id="rId1"/>
    <sheet name="Variance Decomposition" sheetId="2" r:id="rId2"/>
  </sheets>
  <calcPr calcId="191029"/>
</workbook>
</file>

<file path=xl/calcChain.xml><?xml version="1.0" encoding="utf-8"?>
<calcChain xmlns="http://schemas.openxmlformats.org/spreadsheetml/2006/main">
  <c r="AB6" i="1" l="1"/>
  <c r="AB13" i="1"/>
  <c r="AB10" i="1"/>
  <c r="AB11" i="1"/>
  <c r="AB8" i="1"/>
  <c r="AB4" i="1"/>
</calcChain>
</file>

<file path=xl/sharedStrings.xml><?xml version="1.0" encoding="utf-8"?>
<sst xmlns="http://schemas.openxmlformats.org/spreadsheetml/2006/main" count="59" uniqueCount="49">
  <si>
    <t>Input Data</t>
  </si>
  <si>
    <t>Maddison_CRU_dataset.csv</t>
  </si>
  <si>
    <t>Approach</t>
  </si>
  <si>
    <t>h1</t>
  </si>
  <si>
    <t>h1_SE</t>
  </si>
  <si>
    <t>h2</t>
  </si>
  <si>
    <t>h2_SE</t>
  </si>
  <si>
    <t>T_opt</t>
  </si>
  <si>
    <t>T_opt_SE</t>
  </si>
  <si>
    <t>h3</t>
  </si>
  <si>
    <t>h3_SE</t>
  </si>
  <si>
    <t>h4</t>
  </si>
  <si>
    <t>h4_SE</t>
  </si>
  <si>
    <t>f1</t>
  </si>
  <si>
    <t>f1_SE</t>
  </si>
  <si>
    <t>T_dep_opt</t>
  </si>
  <si>
    <t>f2</t>
  </si>
  <si>
    <t>f2_SE</t>
  </si>
  <si>
    <t>Y_ref</t>
  </si>
  <si>
    <t>R_squared</t>
  </si>
  <si>
    <t>Total_R_squared</t>
  </si>
  <si>
    <t>Adj_R_squared</t>
  </si>
  <si>
    <t>RMSE</t>
  </si>
  <si>
    <t>RMS_Imbalance</t>
  </si>
  <si>
    <t>RMS_h_T</t>
  </si>
  <si>
    <t>Imbalance_Ratio</t>
  </si>
  <si>
    <t>n_obs</t>
  </si>
  <si>
    <t>n_params</t>
  </si>
  <si>
    <t>0: Conjoined OLS Fit</t>
  </si>
  <si>
    <t>method0h0: No Climate Response (Joint)</t>
  </si>
  <si>
    <t>5c: Precomputed k Combined</t>
  </si>
  <si>
    <t>method1h0: No Climate Response (Precomputed k)</t>
  </si>
  <si>
    <t>6: Precomputed k LOESS</t>
  </si>
  <si>
    <t>method2h0: No Climate Response (LOESS Precomputed k)</t>
  </si>
  <si>
    <t>6e: T/Quadratic Departure LOESS</t>
  </si>
  <si>
    <t>8: Piecewise Quadratic LOESS</t>
  </si>
  <si>
    <t>5: Persistence Decay LOESS</t>
  </si>
  <si>
    <t>Var(dy)</t>
  </si>
  <si>
    <t>Sum</t>
  </si>
  <si>
    <t>Var(h(T)</t>
  </si>
  <si>
    <t>Var(j</t>
  </si>
  <si>
    <t>Var(k</t>
  </si>
  <si>
    <t>Var(err</t>
  </si>
  <si>
    <t>2Cov(h(T),j</t>
  </si>
  <si>
    <t>2Cov(h(T),k</t>
  </si>
  <si>
    <t>2Cov(h(T),err</t>
  </si>
  <si>
    <t>2Cov(j,k</t>
  </si>
  <si>
    <t>2Cov(j,err</t>
  </si>
  <si>
    <t>2Cov(k,err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</si>
</sst>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0"/>
    <numFmt numFmtId="165" formatCode="0.000000"/>
    <numFmt numFmtId="166" formatCode="0.00000"/>
    <numFmt numFmtId="167" formatCode="0.0000"/>
    <numFmt numFmtId="168" formatCode="0.000"/>
    <numFmt numFmtId="169" formatCode="0.00000000000000000000000"/>
    <numFmt numFmtId="170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65" fontId="0" fillId="0" borderId="0" xfId="0" applyNumberFormat="1"/>
    <xf numFmtId="167" fontId="0" fillId="0" borderId="0" xfId="0" applyNumberFormat="1"/>
    <xf numFmtId="167" fontId="0" fillId="2" borderId="0" xfId="0" applyNumberFormat="1" applyFill="1"/>
    <xf numFmtId="168" fontId="0" fillId="0" borderId="0" xfId="0" applyNumberFormat="1"/>
    <xf numFmtId="0" fontId="1" fillId="2" borderId="1" xfId="0" applyFont="1" applyFill="1" applyBorder="1" applyAlignment="1">
      <alignment horizontal="center" vertical="top" wrapText="1"/>
    </xf>
    <xf numFmtId="168" fontId="0" fillId="2" borderId="0" xfId="0" applyNumberFormat="1" applyFill="1"/>
    <xf numFmtId="0" fontId="0" fillId="2" borderId="0" xfId="0" applyFill="1"/>
    <xf numFmtId="0" fontId="1" fillId="3" borderId="1" xfId="0" applyFont="1" applyFill="1" applyBorder="1" applyAlignment="1">
      <alignment horizontal="center" vertical="top" wrapText="1"/>
    </xf>
    <xf numFmtId="168" fontId="0" fillId="3" borderId="0" xfId="0" applyNumberFormat="1" applyFill="1"/>
    <xf numFmtId="0" fontId="0" fillId="3" borderId="0" xfId="0" applyFill="1"/>
    <xf numFmtId="0" fontId="1" fillId="4" borderId="1" xfId="0" applyFont="1" applyFill="1" applyBorder="1" applyAlignment="1">
      <alignment horizontal="center" vertical="top" wrapText="1"/>
    </xf>
    <xf numFmtId="168" fontId="0" fillId="4" borderId="0" xfId="0" applyNumberFormat="1" applyFill="1"/>
    <xf numFmtId="0" fontId="0" fillId="4" borderId="0" xfId="0" applyFill="1"/>
    <xf numFmtId="0" fontId="1" fillId="5" borderId="1" xfId="0" applyFont="1" applyFill="1" applyBorder="1" applyAlignment="1">
      <alignment horizontal="center" vertical="top" wrapText="1"/>
    </xf>
    <xf numFmtId="168" fontId="0" fillId="5" borderId="0" xfId="0" applyNumberFormat="1" applyFill="1"/>
    <xf numFmtId="0" fontId="0" fillId="5" borderId="0" xfId="0" applyFill="1"/>
    <xf numFmtId="0" fontId="1" fillId="6" borderId="1" xfId="0" applyFont="1" applyFill="1" applyBorder="1" applyAlignment="1">
      <alignment horizontal="center" vertical="top" wrapText="1"/>
    </xf>
    <xf numFmtId="168" fontId="0" fillId="6" borderId="0" xfId="0" applyNumberFormat="1" applyFill="1"/>
    <xf numFmtId="0" fontId="0" fillId="6" borderId="0" xfId="0" applyFill="1"/>
    <xf numFmtId="167" fontId="0" fillId="6" borderId="0" xfId="0" applyNumberFormat="1" applyFill="1"/>
    <xf numFmtId="166" fontId="0" fillId="6" borderId="0" xfId="0" applyNumberFormat="1" applyFill="1"/>
    <xf numFmtId="0" fontId="1" fillId="7" borderId="1" xfId="0" applyFont="1" applyFill="1" applyBorder="1" applyAlignment="1">
      <alignment horizontal="center" vertical="top" wrapText="1"/>
    </xf>
    <xf numFmtId="168" fontId="0" fillId="7" borderId="0" xfId="0" applyNumberFormat="1" applyFill="1"/>
    <xf numFmtId="0" fontId="0" fillId="7" borderId="0" xfId="0" applyFill="1"/>
    <xf numFmtId="164" fontId="0" fillId="7" borderId="0" xfId="0" applyNumberFormat="1" applyFill="1"/>
    <xf numFmtId="169" fontId="0" fillId="0" borderId="0" xfId="0" applyNumberFormat="1"/>
    <xf numFmtId="165" fontId="0" fillId="2" borderId="0" xfId="0" applyNumberFormat="1" applyFill="1"/>
    <xf numFmtId="17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"/>
  <sheetViews>
    <sheetView tabSelected="1" workbookViewId="0">
      <selection activeCell="F13" sqref="F4:F13"/>
    </sheetView>
  </sheetViews>
  <sheetFormatPr defaultRowHeight="15" x14ac:dyDescent="0.25"/>
  <cols>
    <col min="1" max="1" width="29.42578125" customWidth="1"/>
    <col min="6" max="6" width="9.5703125" bestFit="1" customWidth="1"/>
    <col min="28" max="28" width="9.5703125" bestFit="1" customWidth="1"/>
  </cols>
  <sheetData>
    <row r="1" spans="1:28" x14ac:dyDescent="0.25">
      <c r="A1" s="1" t="s">
        <v>0</v>
      </c>
    </row>
    <row r="2" spans="1:28" x14ac:dyDescent="0.25">
      <c r="A2" t="s">
        <v>1</v>
      </c>
    </row>
    <row r="3" spans="1:28" s="3" customFormat="1" ht="30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</row>
    <row r="4" spans="1:28" x14ac:dyDescent="0.25">
      <c r="A4" t="s">
        <v>28</v>
      </c>
      <c r="B4">
        <v>8.0710287776584594E-3</v>
      </c>
      <c r="C4">
        <v>3.4244384661139579E-3</v>
      </c>
      <c r="D4" s="30">
        <v>-2.7720242122732298E-4</v>
      </c>
      <c r="E4">
        <v>1.026500589900202E-4</v>
      </c>
      <c r="F4" s="31">
        <v>14.55800555767823</v>
      </c>
      <c r="R4">
        <v>0.18639293452791961</v>
      </c>
      <c r="S4" s="6">
        <v>0.18639293452791961</v>
      </c>
      <c r="T4">
        <v>0.13876134635538659</v>
      </c>
      <c r="U4">
        <v>5.6574752461941248E-2</v>
      </c>
      <c r="V4">
        <v>3.3735758985298098E-2</v>
      </c>
      <c r="W4">
        <v>3.9069855850703002E-2</v>
      </c>
      <c r="X4">
        <v>0.86347282964677441</v>
      </c>
      <c r="Y4">
        <v>8680</v>
      </c>
      <c r="Z4">
        <v>481</v>
      </c>
      <c r="AB4" s="5">
        <f>S4-S5</f>
        <v>7.2558427170299478E-4</v>
      </c>
    </row>
    <row r="5" spans="1:28" x14ac:dyDescent="0.25">
      <c r="A5" t="s">
        <v>29</v>
      </c>
      <c r="B5">
        <v>0</v>
      </c>
      <c r="C5">
        <v>0</v>
      </c>
      <c r="D5" s="30">
        <v>0</v>
      </c>
      <c r="E5">
        <v>0</v>
      </c>
      <c r="F5" s="31"/>
      <c r="R5">
        <v>0.18566735025621661</v>
      </c>
      <c r="S5" s="6">
        <v>0.18566735025621661</v>
      </c>
      <c r="T5">
        <v>0.13820350358172229</v>
      </c>
      <c r="U5">
        <v>5.6599973852106529E-2</v>
      </c>
      <c r="Y5">
        <v>8680</v>
      </c>
      <c r="Z5">
        <v>479</v>
      </c>
      <c r="AB5" s="5"/>
    </row>
    <row r="6" spans="1:28" x14ac:dyDescent="0.25">
      <c r="A6" t="s">
        <v>30</v>
      </c>
      <c r="B6">
        <v>6.6278292382964173E-3</v>
      </c>
      <c r="C6">
        <v>3.0607908606435589E-3</v>
      </c>
      <c r="D6" s="30">
        <v>-2.1482203994184821E-4</v>
      </c>
      <c r="E6">
        <v>8.7626118833013922E-5</v>
      </c>
      <c r="F6" s="31">
        <v>15.426325064436019</v>
      </c>
      <c r="R6">
        <v>6.9397271103144309E-4</v>
      </c>
      <c r="S6" s="6">
        <v>0.1862324748928407</v>
      </c>
      <c r="T6">
        <v>5.7881875536325289E-4</v>
      </c>
      <c r="U6">
        <v>5.6580331024969358E-2</v>
      </c>
      <c r="V6">
        <v>6.2200605987821483E-2</v>
      </c>
      <c r="W6">
        <v>3.6674878178356282E-2</v>
      </c>
      <c r="X6">
        <v>1.6960003434866009</v>
      </c>
      <c r="Y6">
        <v>8680</v>
      </c>
      <c r="Z6">
        <v>2</v>
      </c>
      <c r="AB6" s="5">
        <f>S6-S7</f>
        <v>5.6512463662419798E-4</v>
      </c>
    </row>
    <row r="7" spans="1:28" x14ac:dyDescent="0.25">
      <c r="A7" t="s">
        <v>31</v>
      </c>
      <c r="B7">
        <v>0</v>
      </c>
      <c r="C7">
        <v>0</v>
      </c>
      <c r="D7" s="30">
        <v>0</v>
      </c>
      <c r="E7">
        <v>0</v>
      </c>
      <c r="F7" s="31"/>
      <c r="R7">
        <v>0.1856673502562165</v>
      </c>
      <c r="S7" s="6">
        <v>0.1856673502562165</v>
      </c>
      <c r="T7">
        <v>0.13788813526149099</v>
      </c>
      <c r="U7">
        <v>5.6599973852106543E-2</v>
      </c>
      <c r="Y7">
        <v>8680</v>
      </c>
      <c r="Z7">
        <v>482</v>
      </c>
      <c r="AB7" s="5"/>
    </row>
    <row r="8" spans="1:28" x14ac:dyDescent="0.25">
      <c r="A8" t="s">
        <v>32</v>
      </c>
      <c r="B8">
        <v>7.911756899983486E-3</v>
      </c>
      <c r="C8">
        <v>3.1362954989210762E-3</v>
      </c>
      <c r="D8" s="30">
        <v>-2.5746146006770529E-4</v>
      </c>
      <c r="E8">
        <v>9.0109332821139816E-5</v>
      </c>
      <c r="F8" s="31">
        <v>15.36493442145265</v>
      </c>
      <c r="R8">
        <v>9.4308196515258125E-4</v>
      </c>
      <c r="S8" s="6">
        <v>0.18643533269182491</v>
      </c>
      <c r="T8">
        <v>8.2795671532143178E-4</v>
      </c>
      <c r="U8">
        <v>5.6573278349326073E-2</v>
      </c>
      <c r="V8">
        <v>6.7827135776217184E-2</v>
      </c>
      <c r="W8">
        <v>4.3388504942528293E-2</v>
      </c>
      <c r="X8">
        <v>1.563251277407689</v>
      </c>
      <c r="Y8">
        <v>8680</v>
      </c>
      <c r="Z8">
        <v>2</v>
      </c>
      <c r="AB8" s="5">
        <f>S8-S$9</f>
        <v>7.6798243560841084E-4</v>
      </c>
    </row>
    <row r="9" spans="1:28" x14ac:dyDescent="0.25">
      <c r="A9" t="s">
        <v>33</v>
      </c>
      <c r="B9">
        <v>0</v>
      </c>
      <c r="C9">
        <v>0</v>
      </c>
      <c r="D9" s="30">
        <v>0</v>
      </c>
      <c r="E9">
        <v>0</v>
      </c>
      <c r="F9" s="31"/>
      <c r="R9">
        <v>0.1856673502562165</v>
      </c>
      <c r="S9" s="6">
        <v>0.1856673502562165</v>
      </c>
      <c r="T9">
        <v>0.17990333405357431</v>
      </c>
      <c r="U9">
        <v>5.6599973852106543E-2</v>
      </c>
      <c r="Y9">
        <v>8680</v>
      </c>
      <c r="Z9">
        <v>62</v>
      </c>
      <c r="AB9" s="5"/>
    </row>
    <row r="10" spans="1:28" x14ac:dyDescent="0.25">
      <c r="A10" t="s">
        <v>35</v>
      </c>
      <c r="B10">
        <v>0</v>
      </c>
      <c r="C10">
        <v>0</v>
      </c>
      <c r="D10" s="30">
        <v>-1.8979588635545681E-4</v>
      </c>
      <c r="E10">
        <v>1.052807030121649E-4</v>
      </c>
      <c r="F10" s="31">
        <v>16.834846101587239</v>
      </c>
      <c r="G10">
        <v>4.0389938855247491</v>
      </c>
      <c r="J10" s="30">
        <v>-3.8536937652763209E-4</v>
      </c>
      <c r="K10">
        <v>1.6029661755073769E-4</v>
      </c>
      <c r="R10">
        <v>1.0394377821192351E-3</v>
      </c>
      <c r="S10" s="6">
        <v>0.18651379837957349</v>
      </c>
      <c r="T10">
        <v>8.0918295620757696E-4</v>
      </c>
      <c r="U10">
        <v>5.6570550128441671E-2</v>
      </c>
      <c r="V10">
        <v>3.1720430507257272E-2</v>
      </c>
      <c r="W10">
        <v>1.8248008725919079E-3</v>
      </c>
      <c r="X10">
        <v>17.382954482152481</v>
      </c>
      <c r="Y10">
        <v>8680</v>
      </c>
      <c r="Z10">
        <v>3</v>
      </c>
      <c r="AB10" s="5">
        <f>S10-S$9</f>
        <v>8.4644812335699093E-4</v>
      </c>
    </row>
    <row r="11" spans="1:28" x14ac:dyDescent="0.25">
      <c r="A11" t="s">
        <v>34</v>
      </c>
      <c r="B11">
        <v>9.4868968882828256E-3</v>
      </c>
      <c r="C11">
        <v>3.2072795388159449E-3</v>
      </c>
      <c r="D11" s="30">
        <v>-2.8705388163264591E-4</v>
      </c>
      <c r="E11">
        <v>9.0973867270854102E-5</v>
      </c>
      <c r="F11" s="31">
        <v>16.524592585763362</v>
      </c>
      <c r="H11">
        <v>0</v>
      </c>
      <c r="I11">
        <v>0</v>
      </c>
      <c r="J11">
        <v>4.589364402396213E-3</v>
      </c>
      <c r="K11">
        <v>1.9660648136691221E-3</v>
      </c>
      <c r="N11">
        <v>0</v>
      </c>
      <c r="R11">
        <v>1.5700673521722439E-3</v>
      </c>
      <c r="S11" s="6">
        <v>0.18694590736338709</v>
      </c>
      <c r="T11">
        <v>1.3399348334104391E-3</v>
      </c>
      <c r="U11">
        <v>5.655552351220635E-2</v>
      </c>
      <c r="V11">
        <v>3.2721238083030471E-2</v>
      </c>
      <c r="W11">
        <v>2.2427216321733818E-3</v>
      </c>
      <c r="X11">
        <v>14.58996855143404</v>
      </c>
      <c r="Y11">
        <v>8680</v>
      </c>
      <c r="Z11">
        <v>3</v>
      </c>
      <c r="AB11" s="5">
        <f t="shared" ref="AB11" si="0">S11-S$9</f>
        <v>1.2785571071705915E-3</v>
      </c>
    </row>
    <row r="12" spans="1:28" x14ac:dyDescent="0.25">
      <c r="F12" s="31"/>
    </row>
    <row r="13" spans="1:28" x14ac:dyDescent="0.25">
      <c r="A13" t="s">
        <v>36</v>
      </c>
      <c r="B13">
        <v>8.2739320892006359E-3</v>
      </c>
      <c r="C13">
        <v>2.6950851442109529E-3</v>
      </c>
      <c r="D13" s="30">
        <v>-2.2592487565568201E-4</v>
      </c>
      <c r="E13">
        <v>7.8199589607142557E-5</v>
      </c>
      <c r="F13" s="31">
        <v>18.311246305188671</v>
      </c>
      <c r="R13">
        <v>1.116596505247647E-3</v>
      </c>
      <c r="S13" s="6">
        <v>0.1865766312470295</v>
      </c>
      <c r="T13">
        <v>8.8635946399029386E-4</v>
      </c>
      <c r="U13">
        <v>5.6568365359658847E-2</v>
      </c>
      <c r="V13">
        <v>8.6986994376354362E-2</v>
      </c>
      <c r="W13">
        <v>1.8913171588317811E-3</v>
      </c>
      <c r="X13">
        <v>45.992811924830207</v>
      </c>
      <c r="Y13">
        <v>8680</v>
      </c>
      <c r="Z13">
        <v>3</v>
      </c>
      <c r="AB13" s="5">
        <f>S13-S$9</f>
        <v>9.0928099081299951E-4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>
      <selection activeCell="R20" sqref="R20"/>
    </sheetView>
  </sheetViews>
  <sheetFormatPr defaultRowHeight="15" x14ac:dyDescent="0.25"/>
  <cols>
    <col min="1" max="1" width="21.140625" customWidth="1"/>
    <col min="3" max="3" width="9.5703125" style="10" bestFit="1" customWidth="1"/>
    <col min="4" max="4" width="9.5703125" style="13" bestFit="1" customWidth="1"/>
    <col min="5" max="5" width="9.5703125" style="16" bestFit="1" customWidth="1"/>
    <col min="6" max="6" width="9.5703125" style="19" bestFit="1" customWidth="1"/>
    <col min="7" max="7" width="10.28515625" style="10" bestFit="1" customWidth="1"/>
    <col min="8" max="8" width="10.28515625" style="22" bestFit="1" customWidth="1"/>
    <col min="9" max="9" width="10.28515625" style="27" bestFit="1" customWidth="1"/>
    <col min="10" max="10" width="26.85546875" bestFit="1" customWidth="1"/>
    <col min="11" max="11" width="11.28515625" style="27" bestFit="1" customWidth="1"/>
    <col min="12" max="12" width="9.5703125" bestFit="1" customWidth="1"/>
  </cols>
  <sheetData>
    <row r="1" spans="1:13" s="3" customFormat="1" ht="45" x14ac:dyDescent="0.25">
      <c r="A1" s="2" t="s">
        <v>2</v>
      </c>
      <c r="B1" s="2" t="s">
        <v>37</v>
      </c>
      <c r="C1" s="8" t="s">
        <v>39</v>
      </c>
      <c r="D1" s="11" t="s">
        <v>40</v>
      </c>
      <c r="E1" s="14" t="s">
        <v>41</v>
      </c>
      <c r="F1" s="17" t="s">
        <v>42</v>
      </c>
      <c r="G1" s="8" t="s">
        <v>43</v>
      </c>
      <c r="H1" s="20" t="s">
        <v>44</v>
      </c>
      <c r="I1" s="25" t="s">
        <v>45</v>
      </c>
      <c r="J1" s="2" t="s">
        <v>46</v>
      </c>
      <c r="K1" s="25" t="s">
        <v>47</v>
      </c>
      <c r="L1" s="2" t="s">
        <v>48</v>
      </c>
      <c r="M1" s="2" t="s">
        <v>38</v>
      </c>
    </row>
    <row r="2" spans="1:13" x14ac:dyDescent="0.25">
      <c r="A2" t="s">
        <v>29</v>
      </c>
      <c r="B2">
        <v>3.9339661022643399E-3</v>
      </c>
      <c r="C2" s="9">
        <v>0</v>
      </c>
      <c r="D2" s="12">
        <v>0.15929400584918779</v>
      </c>
      <c r="E2" s="15">
        <v>0.1195198128970249</v>
      </c>
      <c r="F2" s="18">
        <v>0.81433264974378328</v>
      </c>
      <c r="G2" s="9">
        <v>0</v>
      </c>
      <c r="H2" s="21">
        <v>0</v>
      </c>
      <c r="I2" s="26">
        <v>0</v>
      </c>
      <c r="J2" s="7">
        <v>-9.3146468489991807E-2</v>
      </c>
      <c r="K2" s="26">
        <v>-8.7439206580953365E-15</v>
      </c>
      <c r="L2" s="4">
        <v>4.2934205985289812E-15</v>
      </c>
      <c r="M2">
        <v>0.99999999999999978</v>
      </c>
    </row>
    <row r="3" spans="1:13" x14ac:dyDescent="0.25">
      <c r="A3" t="s">
        <v>28</v>
      </c>
      <c r="B3">
        <v>3.9339661022643399E-3</v>
      </c>
      <c r="C3" s="9">
        <v>8.7084343282640378E-2</v>
      </c>
      <c r="D3" s="12">
        <v>0.22652245065249699</v>
      </c>
      <c r="E3" s="15">
        <v>0.1180575562204136</v>
      </c>
      <c r="F3" s="18">
        <v>0.81360706547208039</v>
      </c>
      <c r="G3" s="9">
        <v>-0.15643864921908299</v>
      </c>
      <c r="H3" s="21">
        <v>-4.8707780937290576E-3</v>
      </c>
      <c r="I3" s="28">
        <v>-5.7989474735962013E-15</v>
      </c>
      <c r="J3" s="7">
        <v>-8.3961988314785685E-2</v>
      </c>
      <c r="K3" s="26">
        <v>2.4800875784254089E-14</v>
      </c>
      <c r="L3" s="4">
        <v>-5.2658044406628967E-14</v>
      </c>
      <c r="M3">
        <v>0.99999999999999978</v>
      </c>
    </row>
    <row r="4" spans="1:13" x14ac:dyDescent="0.25">
      <c r="A4" t="s">
        <v>31</v>
      </c>
      <c r="B4">
        <v>3.9339661022643399E-3</v>
      </c>
      <c r="C4" s="9">
        <v>0</v>
      </c>
      <c r="D4" s="12">
        <v>0.1038228332216042</v>
      </c>
      <c r="E4" s="15">
        <v>8.1844517034612346E-2</v>
      </c>
      <c r="F4" s="18">
        <v>0.81433264974378317</v>
      </c>
      <c r="G4" s="9">
        <v>0</v>
      </c>
      <c r="H4" s="21">
        <v>0</v>
      </c>
      <c r="I4" s="26">
        <v>0</v>
      </c>
      <c r="J4" s="29">
        <v>-4.318161121661323E-19</v>
      </c>
      <c r="K4" s="26">
        <v>1.200829806038465E-17</v>
      </c>
      <c r="L4" s="4">
        <v>-7.7409388342722845E-17</v>
      </c>
      <c r="M4">
        <v>0.99999999999999956</v>
      </c>
    </row>
    <row r="5" spans="1:13" x14ac:dyDescent="0.25">
      <c r="A5" t="s">
        <v>30</v>
      </c>
      <c r="B5">
        <v>3.9339661022643399E-3</v>
      </c>
      <c r="C5" s="9">
        <v>4.7382899381033759E-2</v>
      </c>
      <c r="D5" s="12">
        <v>0.1038228332216042</v>
      </c>
      <c r="E5" s="15">
        <v>8.1844517034612346E-2</v>
      </c>
      <c r="F5" s="18">
        <v>0.86058529985156917</v>
      </c>
      <c r="G5" s="9">
        <v>4.3401278456403529E-3</v>
      </c>
      <c r="H5" s="23">
        <v>-2.441234578655264E-4</v>
      </c>
      <c r="I5" s="26">
        <v>-9.3635549488819733E-2</v>
      </c>
      <c r="J5" s="29">
        <v>-4.318161121661323E-19</v>
      </c>
      <c r="K5" s="26">
        <v>-4.3401278456403252E-3</v>
      </c>
      <c r="L5" s="4">
        <v>2.441234578654405E-4</v>
      </c>
      <c r="M5">
        <v>0.99999999999999956</v>
      </c>
    </row>
    <row r="6" spans="1:13" x14ac:dyDescent="0.25">
      <c r="A6" t="s">
        <v>33</v>
      </c>
      <c r="B6">
        <v>3.9339661022643399E-3</v>
      </c>
      <c r="C6" s="9">
        <v>0</v>
      </c>
      <c r="D6" s="12">
        <v>8.7409984961088927E-2</v>
      </c>
      <c r="E6" s="15">
        <v>8.1844517034612346E-2</v>
      </c>
      <c r="F6" s="18">
        <v>0.81433264974378361</v>
      </c>
      <c r="G6" s="9">
        <v>0</v>
      </c>
      <c r="H6" s="21">
        <v>0</v>
      </c>
      <c r="I6" s="26">
        <v>0</v>
      </c>
      <c r="J6" s="29">
        <v>-2.8703070985160561E-18</v>
      </c>
      <c r="K6" s="26">
        <v>1.6412848260515121E-2</v>
      </c>
      <c r="L6" s="4">
        <v>-9.4618530459931943E-17</v>
      </c>
      <c r="M6">
        <v>0.99999999999999989</v>
      </c>
    </row>
    <row r="7" spans="1:13" x14ac:dyDescent="0.25">
      <c r="A7" t="s">
        <v>32</v>
      </c>
      <c r="B7">
        <v>3.9339661022643399E-3</v>
      </c>
      <c r="C7" s="9">
        <v>6.8356214531165541E-2</v>
      </c>
      <c r="D7" s="12">
        <v>8.7409984961088927E-2</v>
      </c>
      <c r="E7" s="15">
        <v>8.1844517034612346E-2</v>
      </c>
      <c r="F7" s="18">
        <v>0.8825054430464031</v>
      </c>
      <c r="G7" s="9">
        <v>6.7642668462161706E-3</v>
      </c>
      <c r="H7" s="23">
        <v>-2.8251892229820482E-4</v>
      </c>
      <c r="I7" s="26">
        <v>-0.13652900783378519</v>
      </c>
      <c r="J7" s="29">
        <v>-2.8703070985160561E-18</v>
      </c>
      <c r="K7" s="26">
        <v>9.6485814142989578E-3</v>
      </c>
      <c r="L7" s="4">
        <v>2.8251892229811651E-4</v>
      </c>
      <c r="M7">
        <v>0.99999999999999978</v>
      </c>
    </row>
    <row r="8" spans="1:13" x14ac:dyDescent="0.25">
      <c r="C8" s="9"/>
      <c r="D8" s="12"/>
      <c r="E8" s="15"/>
      <c r="F8" s="18"/>
      <c r="G8" s="9"/>
      <c r="H8" s="21"/>
      <c r="I8" s="26"/>
      <c r="J8" s="29"/>
      <c r="K8" s="26"/>
      <c r="L8" s="4"/>
    </row>
    <row r="9" spans="1:13" x14ac:dyDescent="0.25">
      <c r="A9" t="s">
        <v>34</v>
      </c>
      <c r="B9">
        <v>3.9339661022643399E-3</v>
      </c>
      <c r="C9" s="9">
        <v>8.3439562299722297E-2</v>
      </c>
      <c r="D9" s="12">
        <v>8.7409984961088927E-2</v>
      </c>
      <c r="E9" s="15">
        <v>8.1844517034612346E-2</v>
      </c>
      <c r="F9" s="18">
        <v>0.89609641153234665</v>
      </c>
      <c r="G9" s="9">
        <v>-7.8319358154473268E-4</v>
      </c>
      <c r="H9" s="24">
        <v>-6.0679737734687538E-4</v>
      </c>
      <c r="I9" s="26">
        <v>-0.1652033240882852</v>
      </c>
      <c r="J9" s="29">
        <v>-2.8703070985160561E-18</v>
      </c>
      <c r="K9" s="26">
        <v>1.7196041842059868E-2</v>
      </c>
      <c r="L9" s="4">
        <v>6.0679737734678388E-4</v>
      </c>
      <c r="M9">
        <v>1</v>
      </c>
    </row>
    <row r="10" spans="1:13" x14ac:dyDescent="0.25">
      <c r="A10" t="s">
        <v>35</v>
      </c>
      <c r="B10">
        <v>3.9339661022643399E-3</v>
      </c>
      <c r="C10" s="9">
        <v>7.5451228226082676E-2</v>
      </c>
      <c r="D10" s="12">
        <v>8.7409984961088927E-2</v>
      </c>
      <c r="E10" s="15">
        <v>8.1844517034612346E-2</v>
      </c>
      <c r="F10" s="18">
        <v>0.8896095719912418</v>
      </c>
      <c r="G10" s="9">
        <v>1.018779638860502E-2</v>
      </c>
      <c r="H10" s="24">
        <v>-7.5296935507497293E-5</v>
      </c>
      <c r="I10" s="26">
        <v>-0.15072815047354091</v>
      </c>
      <c r="J10" s="29">
        <v>-2.8703070985160561E-18</v>
      </c>
      <c r="K10" s="26">
        <v>6.2250518719101158E-3</v>
      </c>
      <c r="L10" s="4">
        <v>7.5296935507407548E-5</v>
      </c>
      <c r="M10">
        <v>0.99999999999999978</v>
      </c>
    </row>
    <row r="11" spans="1:13" x14ac:dyDescent="0.25">
      <c r="A11" t="s">
        <v>36</v>
      </c>
      <c r="B11">
        <v>3.9339661022643399E-3</v>
      </c>
      <c r="C11" s="9">
        <v>6.8207459324548636E-2</v>
      </c>
      <c r="D11" s="12">
        <v>8.7409984961088927E-2</v>
      </c>
      <c r="E11" s="15">
        <v>8.1844517034612346E-2</v>
      </c>
      <c r="F11" s="18">
        <v>0.88065526915731795</v>
      </c>
      <c r="G11" s="9">
        <v>-1.175099481192915E-2</v>
      </c>
      <c r="H11" s="24">
        <v>-5.1751607718198084E-4</v>
      </c>
      <c r="I11" s="26">
        <v>-0.1345300787380829</v>
      </c>
      <c r="J11" s="29">
        <v>-2.8703070985160561E-18</v>
      </c>
      <c r="K11" s="26">
        <v>2.8163843072444281E-2</v>
      </c>
      <c r="L11" s="4">
        <v>5.1751607718189205E-4</v>
      </c>
      <c r="M11">
        <v>0.99999999999999989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Variance Decomposition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</cp:lastModifiedBy>
  <dcterms:created xsi:type="dcterms:W3CDTF">2026-02-21T13:28:23Z</dcterms:created>
  <dcterms:modified xsi:type="dcterms:W3CDTF">2026-02-21T17:02:34Z</dcterms:modified>
</cp:coreProperties>
</file>